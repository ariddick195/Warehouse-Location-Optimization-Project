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7DAE53CAA7545259/Documents/"/>
    </mc:Choice>
  </mc:AlternateContent>
  <xr:revisionPtr revIDLastSave="353" documentId="8_{60AD73FA-2C8B-43F3-A3F0-6B4DC0B2EC69}" xr6:coauthVersionLast="47" xr6:coauthVersionMax="47" xr10:uidLastSave="{C1AC7CC4-8D89-4BDC-8681-EF9EFC42FF59}"/>
  <bookViews>
    <workbookView xWindow="-108" yWindow="-108" windowWidth="23256" windowHeight="13896" tabRatio="500" xr2:uid="{00000000-000D-0000-FFFF-FFFF00000000}"/>
  </bookViews>
  <sheets>
    <sheet name="New York Optimization" sheetId="2" r:id="rId1"/>
    <sheet name="Los Angeles Optimization" sheetId="3" r:id="rId2"/>
  </sheets>
  <definedNames>
    <definedName name="solver_adj" localSheetId="1" hidden="1">'Los Angeles Optimization'!$K$24:$N$27</definedName>
    <definedName name="solver_adj" localSheetId="0" hidden="1">'New York Optimization'!$K$24:$N$27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2</definedName>
    <definedName name="solver_eng" localSheetId="1" hidden="1">2</definedName>
    <definedName name="solver_eng" localSheetId="0" hidden="1">2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'Los Angeles Optimization'!$K$29:$N$29</definedName>
    <definedName name="solver_lhs1" localSheetId="0" hidden="1">'New York Optimization'!$K$29:$N$29</definedName>
    <definedName name="solver_lhs2" localSheetId="1" hidden="1">'Los Angeles Optimization'!$P$24:$P$27</definedName>
    <definedName name="solver_lhs2" localSheetId="0" hidden="1">'New York Optimization'!$P$24:$P$27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2</definedName>
    <definedName name="solver_num" localSheetId="0" hidden="1">2</definedName>
    <definedName name="solver_nwt" localSheetId="1" hidden="1">1</definedName>
    <definedName name="solver_nwt" localSheetId="0" hidden="1">1</definedName>
    <definedName name="solver_opt" localSheetId="1" hidden="1">'Los Angeles Optimization'!$K$32</definedName>
    <definedName name="solver_opt" localSheetId="0" hidden="1">'New York Optimization'!$K$32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2</definedName>
    <definedName name="solver_rel1" localSheetId="1" hidden="1">3</definedName>
    <definedName name="solver_rel1" localSheetId="0" hidden="1">3</definedName>
    <definedName name="solver_rel2" localSheetId="1" hidden="1">1</definedName>
    <definedName name="solver_rel2" localSheetId="0" hidden="1">1</definedName>
    <definedName name="solver_rhs1" localSheetId="1" hidden="1">'Los Angeles Optimization'!$K$28:$N$28</definedName>
    <definedName name="solver_rhs1" localSheetId="0" hidden="1">'New York Optimization'!$K$28:$N$28</definedName>
    <definedName name="solver_rhs2" localSheetId="1" hidden="1">'Los Angeles Optimization'!$O$24:$O$27</definedName>
    <definedName name="solver_rhs2" localSheetId="0" hidden="1">'New York Optimization'!$O$24:$O$27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2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2</definedName>
    <definedName name="solver_typ" localSheetId="0" hidden="1">2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5" i="3" l="1"/>
  <c r="M34" i="3"/>
  <c r="L34" i="2"/>
  <c r="K32" i="2"/>
  <c r="P24" i="3"/>
  <c r="P25" i="3"/>
  <c r="P26" i="3"/>
  <c r="P27" i="3"/>
  <c r="K29" i="3"/>
  <c r="L29" i="3"/>
  <c r="M29" i="3"/>
  <c r="N29" i="3"/>
  <c r="K32" i="3"/>
  <c r="K29" i="2"/>
  <c r="P24" i="2"/>
  <c r="P25" i="2"/>
  <c r="P26" i="2"/>
  <c r="P27" i="2"/>
  <c r="L29" i="2"/>
  <c r="M29" i="2"/>
  <c r="N29" i="2"/>
  <c r="L35" i="2"/>
</calcChain>
</file>

<file path=xl/sharedStrings.xml><?xml version="1.0" encoding="utf-8"?>
<sst xmlns="http://schemas.openxmlformats.org/spreadsheetml/2006/main" count="116" uniqueCount="35">
  <si>
    <t>Transportation Class Problem - Location Decision</t>
  </si>
  <si>
    <t>Current Situation</t>
  </si>
  <si>
    <t>Planning for a New Warehouse and need to decide on Location</t>
  </si>
  <si>
    <t>Due to increased Demand The company is now planning to open a Warehouse with a demand of 400 unit, in a new location and hired a team of Ops Analysts to recommend one from the TWO possible lcoations. The data for the respective locations are provided below</t>
  </si>
  <si>
    <t>Factory Capacity</t>
  </si>
  <si>
    <t>Chicago</t>
  </si>
  <si>
    <t>Nashville</t>
  </si>
  <si>
    <t>Miami</t>
  </si>
  <si>
    <t>Location 1: New York</t>
  </si>
  <si>
    <t>Location 2: Los Angeles</t>
  </si>
  <si>
    <t>Warehouse Demand</t>
  </si>
  <si>
    <t>Demand</t>
  </si>
  <si>
    <t>Dallas</t>
  </si>
  <si>
    <t>Cost</t>
  </si>
  <si>
    <t>Boston</t>
  </si>
  <si>
    <t>New York</t>
  </si>
  <si>
    <t>Los Angeles</t>
  </si>
  <si>
    <t>Cleaveland</t>
  </si>
  <si>
    <t>Cost Matrix: Cost of transporting ONE Unit</t>
  </si>
  <si>
    <t>Use Transporation Optimization methods to recommend a new location choice based on Minimum total cost of Transportation</t>
  </si>
  <si>
    <t>Los Angeles would be the recommended location due to the overall transporatation cost  being the lowest out of the two.</t>
  </si>
  <si>
    <t>Warehouses</t>
  </si>
  <si>
    <t>Dummy Factory</t>
  </si>
  <si>
    <t>Capacity</t>
  </si>
  <si>
    <t>Total Shipped</t>
  </si>
  <si>
    <t>Factories</t>
  </si>
  <si>
    <t>W/H Demand</t>
  </si>
  <si>
    <t>Total Received</t>
  </si>
  <si>
    <t>Objective:</t>
  </si>
  <si>
    <t>Minimize Total Cost of Transporation</t>
  </si>
  <si>
    <t>Total Cost of Transportation</t>
  </si>
  <si>
    <t>Demand constraint:</t>
  </si>
  <si>
    <t>Total Received&gt;Demand</t>
  </si>
  <si>
    <t>Capacity constraint</t>
  </si>
  <si>
    <t>Total Shipped&lt;Capacity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</si>
</sst>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&quot;$&quot;#,##0.00"/>
  </numFmts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9" xfId="0" applyBorder="1" applyAlignment="1">
      <alignment horizontal="center"/>
    </xf>
    <xf numFmtId="0" fontId="0" fillId="0" borderId="13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1" xfId="0" applyFont="1" applyFill="1" applyBorder="1"/>
    <xf numFmtId="164" fontId="4" fillId="0" borderId="1" xfId="0" applyNumberFormat="1" applyFont="1" applyBorder="1" applyAlignment="1">
      <alignment horizontal="center"/>
    </xf>
    <xf numFmtId="0" fontId="4" fillId="5" borderId="0" xfId="0" applyFont="1" applyFill="1"/>
    <xf numFmtId="0" fontId="4" fillId="5" borderId="7" xfId="0" applyFont="1" applyFill="1" applyBorder="1" applyAlignment="1">
      <alignment horizontal="center"/>
    </xf>
    <xf numFmtId="0" fontId="7" fillId="0" borderId="0" xfId="0" applyFont="1"/>
    <xf numFmtId="0" fontId="0" fillId="4" borderId="0" xfId="0" applyFill="1"/>
    <xf numFmtId="0" fontId="0" fillId="0" borderId="0" xfId="48" applyNumberFormat="1" applyFont="1"/>
    <xf numFmtId="165" fontId="4" fillId="0" borderId="0" xfId="0" applyNumberFormat="1" applyFont="1" applyAlignment="1">
      <alignment horizontal="center"/>
    </xf>
    <xf numFmtId="165" fontId="4" fillId="0" borderId="0" xfId="0" applyNumberFormat="1" applyFont="1"/>
    <xf numFmtId="0" fontId="4" fillId="2" borderId="0" xfId="0" applyFont="1" applyFill="1"/>
    <xf numFmtId="165" fontId="4" fillId="0" borderId="0" xfId="47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4" fillId="4" borderId="12" xfId="0" applyFont="1" applyFill="1" applyBorder="1" applyAlignment="1">
      <alignment horizontal="center" wrapText="1"/>
    </xf>
    <xf numFmtId="0" fontId="4" fillId="4" borderId="14" xfId="0" applyFont="1" applyFill="1" applyBorder="1" applyAlignment="1">
      <alignment horizontal="center" wrapText="1"/>
    </xf>
    <xf numFmtId="0" fontId="4" fillId="4" borderId="15" xfId="0" applyFont="1" applyFill="1" applyBorder="1" applyAlignment="1">
      <alignment horizontal="center" wrapText="1"/>
    </xf>
    <xf numFmtId="0" fontId="4" fillId="4" borderId="16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8" fillId="0" borderId="0" xfId="0" applyFont="1"/>
    <xf numFmtId="0" fontId="4" fillId="0" borderId="0" xfId="0" applyFont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</cellXfs>
  <cellStyles count="49">
    <cellStyle name="Currency" xfId="47" builtinId="4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Followed Hyperlink" xfId="14" builtinId="9" hidden="1"/>
    <cellStyle name="Followed Hyperlink" xfId="12" builtinId="9" hidden="1"/>
    <cellStyle name="Followed Hyperlink" xfId="38" builtinId="9" hidden="1"/>
    <cellStyle name="Followed Hyperlink" xfId="34" builtinId="9" hidden="1"/>
    <cellStyle name="Followed Hyperlink" xfId="36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0" builtinId="9" hidden="1"/>
    <cellStyle name="Followed Hyperlink" xfId="28" builtinId="9" hidden="1"/>
    <cellStyle name="Followed Hyperlink" xfId="32" builtinId="9" hidden="1"/>
    <cellStyle name="Followed Hyperlink" xfId="26" builtinId="9" hidden="1"/>
    <cellStyle name="Followed Hyperlink" xfId="24" builtinId="9" hidden="1"/>
    <cellStyle name="Hyperlink" xfId="7" builtinId="8" hidden="1"/>
    <cellStyle name="Hyperlink" xfId="1" builtinId="8" hidden="1"/>
    <cellStyle name="Hyperlink" xfId="3" builtinId="8" hidden="1"/>
    <cellStyle name="Hyperlink" xfId="29" builtinId="8" hidden="1"/>
    <cellStyle name="Hyperlink" xfId="33" builtinId="8" hidden="1"/>
    <cellStyle name="Hyperlink" xfId="37" builtinId="8" hidden="1"/>
    <cellStyle name="Hyperlink" xfId="39" builtinId="8" hidden="1"/>
    <cellStyle name="Hyperlink" xfId="35" builtinId="8" hidden="1"/>
    <cellStyle name="Hyperlink" xfId="19" builtinId="8" hidden="1"/>
    <cellStyle name="Hyperlink" xfId="9" builtinId="8" hidden="1"/>
    <cellStyle name="Hyperlink" xfId="11" builtinId="8" hidden="1"/>
    <cellStyle name="Hyperlink" xfId="15" builtinId="8" hidden="1"/>
    <cellStyle name="Hyperlink" xfId="5" builtinId="8" hidden="1"/>
    <cellStyle name="Hyperlink" xfId="13" builtinId="8" hidden="1"/>
    <cellStyle name="Hyperlink" xfId="31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43" builtinId="8" hidden="1"/>
    <cellStyle name="Hyperlink" xfId="17" builtinId="8" hidden="1"/>
    <cellStyle name="Hyperlink" xfId="45" builtinId="8" hidden="1"/>
    <cellStyle name="Hyperlink" xfId="41" builtinId="8" hidden="1"/>
    <cellStyle name="Normal" xfId="0" builtinId="0"/>
    <cellStyle name="Percent" xfId="48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E190DE7-6B5A-4277-BFD4-6B69F6279846}">
  <we:reference id="wa104100404" version="3.0.0.1" store="en-US" storeType="OMEX"/>
  <we:alternateReferences>
    <we:reference id="wa104100404" version="3.0.0.1" store="wa104100404" storeType="OMEX"/>
  </we:alternateReferences>
  <we:properties>
    <we:property name="UniqueID" value="&quot;202601176731498774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129D-1B24-AA40-B803-D72D06800A83}">
  <dimension ref="A1:T37"/>
  <sheetViews>
    <sheetView tabSelected="1" zoomScale="46" zoomScaleNormal="64" workbookViewId="0">
      <selection activeCell="K19" sqref="K19:O20"/>
    </sheetView>
  </sheetViews>
  <sheetFormatPr defaultColWidth="11.19921875" defaultRowHeight="15.6" x14ac:dyDescent="0.3"/>
  <cols>
    <col min="2" max="2" width="19.5" customWidth="1"/>
    <col min="3" max="3" width="12.19921875" style="1" customWidth="1"/>
    <col min="4" max="5" width="10.69921875" style="1"/>
    <col min="7" max="7" width="29.19921875" customWidth="1"/>
    <col min="8" max="8" width="23.8984375" customWidth="1"/>
    <col min="9" max="9" width="14.19921875" customWidth="1"/>
    <col min="10" max="10" width="32.59765625" customWidth="1"/>
    <col min="11" max="11" width="42.3984375" customWidth="1"/>
    <col min="12" max="12" width="23.19921875" customWidth="1"/>
    <col min="13" max="13" width="13.69921875" customWidth="1"/>
    <col min="14" max="14" width="41.69921875" customWidth="1"/>
    <col min="15" max="15" width="25.69921875" customWidth="1"/>
    <col min="16" max="16" width="20.3984375" customWidth="1"/>
    <col min="17" max="17" width="11.19921875" customWidth="1"/>
  </cols>
  <sheetData>
    <row r="1" spans="1:20" ht="24" thickBot="1" x14ac:dyDescent="0.5">
      <c r="B1" s="2" t="s">
        <v>0</v>
      </c>
      <c r="C1" s="3"/>
    </row>
    <row r="2" spans="1:20" ht="34.950000000000003" customHeight="1" thickBot="1" x14ac:dyDescent="0.35">
      <c r="A2" s="47" t="s">
        <v>1</v>
      </c>
      <c r="B2" s="48"/>
      <c r="C2" s="48"/>
      <c r="D2" s="48"/>
      <c r="E2" s="48"/>
      <c r="F2" s="48"/>
      <c r="G2" s="48"/>
      <c r="K2" s="24" t="s">
        <v>2</v>
      </c>
      <c r="L2" s="25"/>
      <c r="M2" s="25"/>
      <c r="N2" s="25"/>
      <c r="O2" s="25"/>
      <c r="P2" s="25"/>
      <c r="Q2" s="25"/>
      <c r="R2" s="25"/>
      <c r="S2" s="25"/>
      <c r="T2" s="26"/>
    </row>
    <row r="3" spans="1:20" ht="21" customHeight="1" x14ac:dyDescent="0.4">
      <c r="A3" s="4"/>
      <c r="B3" s="5"/>
      <c r="C3" s="6"/>
      <c r="D3" s="6"/>
      <c r="E3" s="6"/>
      <c r="K3" s="38" t="s">
        <v>3</v>
      </c>
      <c r="L3" s="38"/>
      <c r="M3" s="38"/>
      <c r="N3" s="38"/>
      <c r="O3" s="38"/>
      <c r="P3" s="38"/>
      <c r="Q3" s="38"/>
      <c r="R3" s="38"/>
      <c r="S3" s="38"/>
      <c r="T3" s="38"/>
    </row>
    <row r="4" spans="1:20" ht="21" x14ac:dyDescent="0.4">
      <c r="A4" s="4"/>
      <c r="B4" s="33" t="s">
        <v>4</v>
      </c>
      <c r="C4" s="35"/>
      <c r="D4" s="6"/>
      <c r="E4" s="6"/>
      <c r="K4" s="39"/>
      <c r="L4" s="39"/>
      <c r="M4" s="39"/>
      <c r="N4" s="39"/>
      <c r="O4" s="39"/>
      <c r="P4" s="39"/>
      <c r="Q4" s="39"/>
      <c r="R4" s="39"/>
      <c r="S4" s="39"/>
      <c r="T4" s="39"/>
    </row>
    <row r="5" spans="1:20" ht="21" x14ac:dyDescent="0.4">
      <c r="A5" s="4"/>
      <c r="B5" s="7" t="s">
        <v>5</v>
      </c>
      <c r="C5" s="8">
        <v>200</v>
      </c>
      <c r="D5" s="6"/>
      <c r="E5" s="6"/>
      <c r="K5" s="39"/>
      <c r="L5" s="39"/>
      <c r="M5" s="39"/>
      <c r="N5" s="39"/>
      <c r="O5" s="39"/>
      <c r="P5" s="39"/>
      <c r="Q5" s="39"/>
      <c r="R5" s="39"/>
      <c r="S5" s="39"/>
      <c r="T5" s="39"/>
    </row>
    <row r="6" spans="1:20" ht="21" x14ac:dyDescent="0.4">
      <c r="A6" s="4"/>
      <c r="B6" s="7" t="s">
        <v>6</v>
      </c>
      <c r="C6" s="8">
        <v>400</v>
      </c>
      <c r="D6" s="6"/>
      <c r="E6" s="6"/>
      <c r="K6" s="39"/>
      <c r="L6" s="39"/>
      <c r="M6" s="39"/>
      <c r="N6" s="39"/>
      <c r="O6" s="39"/>
      <c r="P6" s="39"/>
      <c r="Q6" s="39"/>
      <c r="R6" s="39"/>
      <c r="S6" s="39"/>
      <c r="T6" s="39"/>
    </row>
    <row r="7" spans="1:20" ht="21" x14ac:dyDescent="0.4">
      <c r="A7" s="4"/>
      <c r="B7" s="7" t="s">
        <v>7</v>
      </c>
      <c r="C7" s="8">
        <v>500</v>
      </c>
      <c r="D7" s="6"/>
      <c r="E7" s="6"/>
      <c r="K7" s="39"/>
      <c r="L7" s="39"/>
      <c r="M7" s="39"/>
      <c r="N7" s="39"/>
      <c r="O7" s="39"/>
      <c r="P7" s="39"/>
      <c r="Q7" s="39"/>
      <c r="R7" s="39"/>
      <c r="S7" s="39"/>
      <c r="T7" s="39"/>
    </row>
    <row r="8" spans="1:20" ht="21.6" thickBot="1" x14ac:dyDescent="0.45">
      <c r="A8" s="4"/>
      <c r="B8" s="5"/>
      <c r="C8" s="8"/>
      <c r="D8" s="6"/>
      <c r="E8" s="6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ht="21.6" thickBot="1" x14ac:dyDescent="0.45">
      <c r="A9" s="4"/>
      <c r="B9" s="5"/>
      <c r="C9" s="6"/>
      <c r="D9" s="6"/>
      <c r="E9" s="6"/>
      <c r="K9" s="36" t="s">
        <v>8</v>
      </c>
      <c r="L9" s="37"/>
      <c r="M9" s="5"/>
      <c r="N9" s="36" t="s">
        <v>9</v>
      </c>
      <c r="O9" s="37"/>
      <c r="P9" s="5"/>
      <c r="Q9" s="5"/>
      <c r="R9" s="5"/>
      <c r="S9" s="5"/>
      <c r="T9" s="5"/>
    </row>
    <row r="10" spans="1:20" ht="21" x14ac:dyDescent="0.4">
      <c r="A10" s="4"/>
      <c r="B10" s="5"/>
      <c r="C10" s="6"/>
      <c r="D10" s="6"/>
      <c r="E10" s="6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ht="21.6" thickBot="1" x14ac:dyDescent="0.45">
      <c r="A11" s="4"/>
      <c r="B11" s="33" t="s">
        <v>10</v>
      </c>
      <c r="C11" s="35"/>
      <c r="D11" s="6"/>
      <c r="E11" s="6"/>
      <c r="K11" s="5" t="s">
        <v>11</v>
      </c>
      <c r="L11" s="6">
        <v>400</v>
      </c>
      <c r="M11" s="5"/>
      <c r="N11" s="5" t="s">
        <v>11</v>
      </c>
      <c r="O11" s="6">
        <v>400</v>
      </c>
      <c r="P11" s="5"/>
      <c r="Q11" s="5"/>
      <c r="R11" s="5"/>
      <c r="S11" s="5"/>
      <c r="T11" s="5"/>
    </row>
    <row r="12" spans="1:20" ht="21.6" thickBot="1" x14ac:dyDescent="0.45">
      <c r="A12" s="4"/>
      <c r="B12" s="7" t="s">
        <v>12</v>
      </c>
      <c r="C12" s="8">
        <v>300</v>
      </c>
      <c r="D12" s="6"/>
      <c r="E12" s="6"/>
      <c r="K12" s="22" t="s">
        <v>13</v>
      </c>
      <c r="L12" s="23"/>
      <c r="M12" s="5"/>
      <c r="N12" s="22" t="s">
        <v>13</v>
      </c>
      <c r="O12" s="23"/>
      <c r="P12" s="5"/>
      <c r="Q12" s="5"/>
      <c r="R12" s="5"/>
      <c r="S12" s="5"/>
      <c r="T12" s="5"/>
    </row>
    <row r="13" spans="1:20" ht="21" x14ac:dyDescent="0.4">
      <c r="A13" s="4"/>
      <c r="B13" s="7" t="s">
        <v>14</v>
      </c>
      <c r="C13" s="8">
        <v>500</v>
      </c>
      <c r="D13" s="6"/>
      <c r="E13" s="6"/>
      <c r="K13" s="5"/>
      <c r="L13" s="9" t="s">
        <v>15</v>
      </c>
      <c r="M13" s="5"/>
      <c r="N13" s="5"/>
      <c r="O13" s="9" t="s">
        <v>16</v>
      </c>
      <c r="P13" s="5"/>
      <c r="Q13" s="5"/>
      <c r="R13" s="5"/>
      <c r="S13" s="5"/>
      <c r="T13" s="5"/>
    </row>
    <row r="14" spans="1:20" ht="21" x14ac:dyDescent="0.4">
      <c r="A14" s="4"/>
      <c r="B14" s="7" t="s">
        <v>17</v>
      </c>
      <c r="C14" s="8">
        <v>200</v>
      </c>
      <c r="D14" s="6"/>
      <c r="E14" s="6"/>
      <c r="K14" s="10" t="s">
        <v>5</v>
      </c>
      <c r="L14" s="11">
        <v>5</v>
      </c>
      <c r="M14" s="5"/>
      <c r="N14" s="10" t="s">
        <v>5</v>
      </c>
      <c r="O14" s="11">
        <v>4</v>
      </c>
      <c r="P14" s="5"/>
      <c r="Q14" s="5"/>
      <c r="R14" s="5"/>
      <c r="S14" s="5"/>
      <c r="T14" s="5"/>
    </row>
    <row r="15" spans="1:20" ht="21" x14ac:dyDescent="0.4">
      <c r="A15" s="4"/>
      <c r="B15" s="5"/>
      <c r="C15" s="8"/>
      <c r="D15" s="6"/>
      <c r="E15" s="6"/>
      <c r="K15" s="10" t="s">
        <v>6</v>
      </c>
      <c r="L15" s="11">
        <v>9</v>
      </c>
      <c r="M15" s="5"/>
      <c r="N15" s="10" t="s">
        <v>6</v>
      </c>
      <c r="O15" s="11">
        <v>9</v>
      </c>
      <c r="P15" s="5"/>
      <c r="Q15" s="5"/>
      <c r="R15" s="5"/>
      <c r="S15" s="5"/>
      <c r="T15" s="5"/>
    </row>
    <row r="16" spans="1:20" ht="21" x14ac:dyDescent="0.4">
      <c r="A16" s="4"/>
      <c r="B16" s="5"/>
      <c r="C16" s="6"/>
      <c r="D16" s="6"/>
      <c r="E16" s="6"/>
      <c r="K16" s="10" t="s">
        <v>7</v>
      </c>
      <c r="L16" s="11">
        <v>10</v>
      </c>
      <c r="M16" s="5"/>
      <c r="N16" s="10" t="s">
        <v>7</v>
      </c>
      <c r="O16" s="11">
        <v>12</v>
      </c>
      <c r="P16" s="5"/>
      <c r="Q16" s="5"/>
      <c r="R16" s="5"/>
      <c r="S16" s="5"/>
      <c r="T16" s="5"/>
    </row>
    <row r="17" spans="1:20" ht="21" x14ac:dyDescent="0.4">
      <c r="A17" s="4"/>
      <c r="B17" s="33" t="s">
        <v>18</v>
      </c>
      <c r="C17" s="34"/>
      <c r="D17" s="34"/>
      <c r="E17" s="3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21.6" thickBot="1" x14ac:dyDescent="0.45">
      <c r="A18" s="4"/>
      <c r="B18" s="5"/>
      <c r="C18" s="6"/>
      <c r="D18" s="6"/>
      <c r="E18" s="6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21" customHeight="1" x14ac:dyDescent="0.4">
      <c r="A19" s="4"/>
      <c r="B19" s="5"/>
      <c r="C19" s="21" t="s">
        <v>12</v>
      </c>
      <c r="D19" s="21" t="s">
        <v>14</v>
      </c>
      <c r="E19" s="21" t="s">
        <v>17</v>
      </c>
      <c r="F19" s="9" t="s">
        <v>15</v>
      </c>
      <c r="G19" s="9" t="s">
        <v>16</v>
      </c>
      <c r="K19" s="27" t="s">
        <v>19</v>
      </c>
      <c r="L19" s="28"/>
      <c r="M19" s="28"/>
      <c r="N19" s="28"/>
      <c r="O19" s="29"/>
      <c r="P19" s="5"/>
      <c r="Q19" s="5"/>
      <c r="R19" s="5"/>
      <c r="S19" s="5"/>
      <c r="T19" s="5"/>
    </row>
    <row r="20" spans="1:20" ht="21.6" thickBot="1" x14ac:dyDescent="0.45">
      <c r="A20" s="4"/>
      <c r="B20" s="10" t="s">
        <v>5</v>
      </c>
      <c r="C20" s="11">
        <v>5</v>
      </c>
      <c r="D20" s="11">
        <v>4</v>
      </c>
      <c r="E20" s="11">
        <v>3</v>
      </c>
      <c r="F20" s="11">
        <v>5</v>
      </c>
      <c r="G20" s="11">
        <v>4</v>
      </c>
      <c r="K20" s="30"/>
      <c r="L20" s="31"/>
      <c r="M20" s="31"/>
      <c r="N20" s="31"/>
      <c r="O20" s="32"/>
      <c r="P20" s="5"/>
      <c r="Q20" s="5"/>
      <c r="R20" s="5"/>
      <c r="S20" s="5"/>
      <c r="T20" s="5"/>
    </row>
    <row r="21" spans="1:20" ht="21" x14ac:dyDescent="0.4">
      <c r="A21" s="4"/>
      <c r="B21" s="10" t="s">
        <v>6</v>
      </c>
      <c r="C21" s="11">
        <v>8</v>
      </c>
      <c r="D21" s="11">
        <v>4</v>
      </c>
      <c r="E21" s="11">
        <v>3</v>
      </c>
      <c r="F21" s="11">
        <v>9</v>
      </c>
      <c r="G21" s="11">
        <v>9</v>
      </c>
    </row>
    <row r="22" spans="1:20" ht="21" x14ac:dyDescent="0.4">
      <c r="A22" s="4"/>
      <c r="B22" s="10" t="s">
        <v>7</v>
      </c>
      <c r="C22" s="11">
        <v>9</v>
      </c>
      <c r="D22" s="11">
        <v>7</v>
      </c>
      <c r="E22" s="11">
        <v>5</v>
      </c>
      <c r="F22" s="11">
        <v>10</v>
      </c>
      <c r="G22" s="11">
        <v>12</v>
      </c>
      <c r="K22" s="5"/>
      <c r="L22" s="5" t="s">
        <v>21</v>
      </c>
      <c r="M22" s="5"/>
      <c r="N22" s="5"/>
      <c r="O22" s="5"/>
      <c r="P22" s="5"/>
      <c r="Q22" s="5"/>
      <c r="R22" s="5"/>
      <c r="S22" s="5"/>
      <c r="T22" s="5"/>
    </row>
    <row r="23" spans="1:20" ht="21" x14ac:dyDescent="0.4">
      <c r="A23" s="4"/>
      <c r="B23" s="19" t="s">
        <v>22</v>
      </c>
      <c r="C23" s="17">
        <v>0</v>
      </c>
      <c r="D23" s="17">
        <v>0</v>
      </c>
      <c r="E23" s="17">
        <v>0</v>
      </c>
      <c r="F23" s="17">
        <v>0</v>
      </c>
      <c r="G23" s="18">
        <v>0</v>
      </c>
      <c r="K23" s="12" t="s">
        <v>12</v>
      </c>
      <c r="L23" s="12" t="s">
        <v>14</v>
      </c>
      <c r="M23" s="12" t="s">
        <v>17</v>
      </c>
      <c r="N23" s="13" t="s">
        <v>15</v>
      </c>
      <c r="O23" s="5" t="s">
        <v>23</v>
      </c>
      <c r="P23" s="5" t="s">
        <v>24</v>
      </c>
      <c r="Q23" s="5"/>
      <c r="R23" s="5"/>
      <c r="S23" s="5"/>
      <c r="T23" s="5"/>
    </row>
    <row r="24" spans="1:20" ht="21" x14ac:dyDescent="0.4">
      <c r="A24" s="4"/>
      <c r="B24" s="5"/>
      <c r="C24" s="6"/>
      <c r="D24" s="6"/>
      <c r="E24" s="6"/>
      <c r="I24" s="41" t="s">
        <v>25</v>
      </c>
      <c r="J24" s="5" t="s">
        <v>5</v>
      </c>
      <c r="K24" s="42">
        <v>0</v>
      </c>
      <c r="L24" s="42">
        <v>0</v>
      </c>
      <c r="M24" s="42">
        <v>0</v>
      </c>
      <c r="N24" s="43">
        <v>200</v>
      </c>
      <c r="O24" s="42">
        <v>200</v>
      </c>
      <c r="P24" s="42">
        <f>SUM(K24:N24)</f>
        <v>200</v>
      </c>
      <c r="Q24" s="5"/>
      <c r="R24" s="5"/>
      <c r="S24" s="5"/>
      <c r="T24" s="5"/>
    </row>
    <row r="25" spans="1:20" ht="21" x14ac:dyDescent="0.4">
      <c r="C25"/>
      <c r="D25"/>
      <c r="E25"/>
      <c r="I25" s="41"/>
      <c r="J25" s="5" t="s">
        <v>6</v>
      </c>
      <c r="K25" s="42">
        <v>0</v>
      </c>
      <c r="L25" s="42">
        <v>400</v>
      </c>
      <c r="M25" s="42">
        <v>0</v>
      </c>
      <c r="N25" s="43">
        <v>0</v>
      </c>
      <c r="O25" s="42">
        <v>400</v>
      </c>
      <c r="P25" s="42">
        <f t="shared" ref="P25" si="0">SUM(K25:N25)</f>
        <v>400</v>
      </c>
      <c r="Q25" s="5"/>
      <c r="R25" s="5"/>
      <c r="S25" s="5"/>
      <c r="T25" s="5"/>
    </row>
    <row r="26" spans="1:20" ht="21" x14ac:dyDescent="0.4">
      <c r="C26"/>
      <c r="D26"/>
      <c r="E26"/>
      <c r="I26" s="41"/>
      <c r="J26" s="5" t="s">
        <v>7</v>
      </c>
      <c r="K26" s="42">
        <v>200</v>
      </c>
      <c r="L26" s="42">
        <v>100</v>
      </c>
      <c r="M26" s="42">
        <v>200</v>
      </c>
      <c r="N26" s="43">
        <v>0</v>
      </c>
      <c r="O26" s="42">
        <v>500</v>
      </c>
      <c r="P26" s="42">
        <f>SUM(K26:N26)</f>
        <v>500</v>
      </c>
    </row>
    <row r="27" spans="1:20" ht="21" x14ac:dyDescent="0.4">
      <c r="I27" s="41"/>
      <c r="J27" s="5" t="s">
        <v>22</v>
      </c>
      <c r="K27" s="42">
        <v>100</v>
      </c>
      <c r="L27" s="42">
        <v>0</v>
      </c>
      <c r="M27" s="42">
        <v>0</v>
      </c>
      <c r="N27" s="44">
        <v>200</v>
      </c>
      <c r="O27" s="42">
        <v>300</v>
      </c>
      <c r="P27" s="42">
        <f>SUM(K27:N27)</f>
        <v>300</v>
      </c>
    </row>
    <row r="28" spans="1:20" ht="21" x14ac:dyDescent="0.4">
      <c r="I28" s="41"/>
      <c r="J28" s="5" t="s">
        <v>26</v>
      </c>
      <c r="K28" s="42">
        <v>300</v>
      </c>
      <c r="L28" s="42">
        <v>500</v>
      </c>
      <c r="M28" s="42">
        <v>200</v>
      </c>
      <c r="N28" s="42">
        <v>400</v>
      </c>
      <c r="O28" s="42"/>
      <c r="P28" s="42"/>
    </row>
    <row r="29" spans="1:20" ht="21" x14ac:dyDescent="0.4">
      <c r="I29" s="41"/>
      <c r="J29" s="5" t="s">
        <v>27</v>
      </c>
      <c r="K29" s="42">
        <f>SUM(K24:K27)</f>
        <v>300</v>
      </c>
      <c r="L29" s="42">
        <f>SUM(L24:L27)</f>
        <v>500</v>
      </c>
      <c r="M29" s="42">
        <f>SUM(M24:M27)</f>
        <v>200</v>
      </c>
      <c r="N29" s="16">
        <f>SUM(N24:N27)</f>
        <v>400</v>
      </c>
      <c r="O29" s="42"/>
      <c r="P29" s="42"/>
    </row>
    <row r="30" spans="1:20" ht="15.6" customHeight="1" x14ac:dyDescent="0.3">
      <c r="I30" s="41"/>
    </row>
    <row r="31" spans="1:20" ht="21" x14ac:dyDescent="0.4">
      <c r="I31" s="41"/>
      <c r="J31" s="45" t="s">
        <v>28</v>
      </c>
      <c r="K31" s="14" t="s">
        <v>29</v>
      </c>
    </row>
    <row r="32" spans="1:20" ht="18" customHeight="1" x14ac:dyDescent="0.35">
      <c r="I32" s="41"/>
      <c r="J32" s="14" t="s">
        <v>30</v>
      </c>
      <c r="K32" s="15">
        <f>SUMPRODUCT(K24:N27,C20:F23)</f>
        <v>6100</v>
      </c>
    </row>
    <row r="34" spans="10:19" x14ac:dyDescent="0.3">
      <c r="J34" t="s">
        <v>31</v>
      </c>
      <c r="K34" t="s">
        <v>32</v>
      </c>
      <c r="L34">
        <f>SUM(K28:N28)</f>
        <v>1400</v>
      </c>
    </row>
    <row r="35" spans="10:19" x14ac:dyDescent="0.3">
      <c r="J35" t="s">
        <v>33</v>
      </c>
      <c r="K35" t="s">
        <v>34</v>
      </c>
      <c r="L35">
        <f>SUM(O24:O27)</f>
        <v>1400</v>
      </c>
    </row>
    <row r="37" spans="10:19" ht="21" x14ac:dyDescent="0.4">
      <c r="J37" s="40" t="s">
        <v>20</v>
      </c>
      <c r="K37" s="40"/>
      <c r="L37" s="40"/>
      <c r="M37" s="40"/>
      <c r="N37" s="40"/>
      <c r="O37" s="40"/>
      <c r="P37" s="40"/>
      <c r="Q37" s="40"/>
      <c r="R37" s="40"/>
      <c r="S37" s="40"/>
    </row>
  </sheetData>
  <mergeCells count="11">
    <mergeCell ref="J37:S37"/>
    <mergeCell ref="I24:I32"/>
    <mergeCell ref="A2:G2"/>
    <mergeCell ref="B4:C4"/>
    <mergeCell ref="B11:C11"/>
    <mergeCell ref="B17:E17"/>
    <mergeCell ref="K9:L9"/>
    <mergeCell ref="N9:O9"/>
    <mergeCell ref="K2:T2"/>
    <mergeCell ref="K3:T7"/>
    <mergeCell ref="K19:O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558D-6829-487D-AE91-D17DE25B3A4C}">
  <dimension ref="A1:T35"/>
  <sheetViews>
    <sheetView zoomScale="59" workbookViewId="0">
      <selection activeCell="J29" sqref="J29"/>
    </sheetView>
  </sheetViews>
  <sheetFormatPr defaultRowHeight="15.6" x14ac:dyDescent="0.3"/>
  <cols>
    <col min="2" max="2" width="16.09765625" customWidth="1"/>
    <col min="3" max="3" width="17.3984375" customWidth="1"/>
    <col min="4" max="4" width="15.8984375" customWidth="1"/>
    <col min="5" max="5" width="17.69921875" customWidth="1"/>
    <col min="6" max="6" width="16.09765625" customWidth="1"/>
    <col min="7" max="7" width="17.19921875" customWidth="1"/>
    <col min="8" max="8" width="15.3984375" customWidth="1"/>
    <col min="9" max="9" width="13.5" customWidth="1"/>
    <col min="10" max="10" width="18.296875" customWidth="1"/>
    <col min="11" max="11" width="13.69921875" customWidth="1"/>
    <col min="12" max="12" width="27.09765625" customWidth="1"/>
    <col min="13" max="13" width="8.8984375" bestFit="1" customWidth="1"/>
    <col min="15" max="15" width="20.296875" customWidth="1"/>
    <col min="16" max="16" width="17.09765625" customWidth="1"/>
    <col min="17" max="17" width="10.19921875" customWidth="1"/>
  </cols>
  <sheetData>
    <row r="1" spans="1:20" ht="24" thickBot="1" x14ac:dyDescent="0.5">
      <c r="B1" s="2" t="s">
        <v>0</v>
      </c>
      <c r="C1" s="3"/>
      <c r="D1" s="1"/>
      <c r="E1" s="1"/>
    </row>
    <row r="2" spans="1:20" ht="26.4" thickBot="1" x14ac:dyDescent="0.35">
      <c r="A2" s="47" t="s">
        <v>1</v>
      </c>
      <c r="B2" s="48"/>
      <c r="C2" s="48"/>
      <c r="D2" s="48"/>
      <c r="E2" s="48"/>
      <c r="F2" s="48"/>
      <c r="G2" s="48"/>
      <c r="K2" s="24" t="s">
        <v>2</v>
      </c>
      <c r="L2" s="25"/>
      <c r="M2" s="25"/>
      <c r="N2" s="25"/>
      <c r="O2" s="25"/>
      <c r="P2" s="25"/>
      <c r="Q2" s="25"/>
      <c r="R2" s="25"/>
      <c r="S2" s="25"/>
      <c r="T2" s="26"/>
    </row>
    <row r="3" spans="1:20" ht="21" x14ac:dyDescent="0.4">
      <c r="A3" s="4"/>
      <c r="B3" s="5"/>
      <c r="C3" s="6"/>
      <c r="D3" s="6"/>
      <c r="E3" s="6"/>
      <c r="K3" s="38" t="s">
        <v>3</v>
      </c>
      <c r="L3" s="38"/>
      <c r="M3" s="38"/>
      <c r="N3" s="38"/>
      <c r="O3" s="38"/>
      <c r="P3" s="38"/>
      <c r="Q3" s="38"/>
      <c r="R3" s="38"/>
      <c r="S3" s="38"/>
      <c r="T3" s="38"/>
    </row>
    <row r="4" spans="1:20" ht="21" x14ac:dyDescent="0.4">
      <c r="A4" s="4"/>
      <c r="B4" s="33" t="s">
        <v>4</v>
      </c>
      <c r="C4" s="35"/>
      <c r="D4" s="6"/>
      <c r="E4" s="6"/>
      <c r="K4" s="39"/>
      <c r="L4" s="39"/>
      <c r="M4" s="39"/>
      <c r="N4" s="39"/>
      <c r="O4" s="39"/>
      <c r="P4" s="39"/>
      <c r="Q4" s="39"/>
      <c r="R4" s="39"/>
      <c r="S4" s="39"/>
      <c r="T4" s="39"/>
    </row>
    <row r="5" spans="1:20" ht="21" x14ac:dyDescent="0.4">
      <c r="A5" s="4"/>
      <c r="B5" s="7" t="s">
        <v>5</v>
      </c>
      <c r="C5" s="8">
        <v>200</v>
      </c>
      <c r="D5" s="6"/>
      <c r="E5" s="6"/>
      <c r="K5" s="39"/>
      <c r="L5" s="39"/>
      <c r="M5" s="39"/>
      <c r="N5" s="39"/>
      <c r="O5" s="39"/>
      <c r="P5" s="39"/>
      <c r="Q5" s="39"/>
      <c r="R5" s="39"/>
      <c r="S5" s="39"/>
      <c r="T5" s="39"/>
    </row>
    <row r="6" spans="1:20" ht="21" x14ac:dyDescent="0.4">
      <c r="A6" s="4"/>
      <c r="B6" s="7" t="s">
        <v>6</v>
      </c>
      <c r="C6" s="8">
        <v>400</v>
      </c>
      <c r="D6" s="6"/>
      <c r="E6" s="6"/>
      <c r="K6" s="39"/>
      <c r="L6" s="39"/>
      <c r="M6" s="39"/>
      <c r="N6" s="39"/>
      <c r="O6" s="39"/>
      <c r="P6" s="39"/>
      <c r="Q6" s="39"/>
      <c r="R6" s="39"/>
      <c r="S6" s="39"/>
      <c r="T6" s="39"/>
    </row>
    <row r="7" spans="1:20" ht="21" x14ac:dyDescent="0.4">
      <c r="A7" s="4"/>
      <c r="B7" s="7" t="s">
        <v>7</v>
      </c>
      <c r="C7" s="8">
        <v>500</v>
      </c>
      <c r="D7" s="6"/>
      <c r="E7" s="6"/>
      <c r="K7" s="39"/>
      <c r="L7" s="39"/>
      <c r="M7" s="39"/>
      <c r="N7" s="39"/>
      <c r="O7" s="39"/>
      <c r="P7" s="39"/>
      <c r="Q7" s="39"/>
      <c r="R7" s="39"/>
      <c r="S7" s="39"/>
      <c r="T7" s="39"/>
    </row>
    <row r="8" spans="1:20" ht="21.6" thickBot="1" x14ac:dyDescent="0.45">
      <c r="A8" s="4"/>
      <c r="B8" s="5"/>
      <c r="C8" s="8"/>
      <c r="D8" s="6"/>
      <c r="E8" s="6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ht="21.6" thickBot="1" x14ac:dyDescent="0.45">
      <c r="A9" s="4"/>
      <c r="B9" s="5"/>
      <c r="C9" s="6"/>
      <c r="D9" s="6"/>
      <c r="E9" s="6"/>
      <c r="K9" s="36" t="s">
        <v>8</v>
      </c>
      <c r="L9" s="37"/>
      <c r="M9" s="5"/>
      <c r="N9" s="36" t="s">
        <v>9</v>
      </c>
      <c r="O9" s="37"/>
      <c r="P9" s="5"/>
      <c r="Q9" s="5"/>
      <c r="R9" s="5"/>
      <c r="S9" s="5"/>
      <c r="T9" s="5"/>
    </row>
    <row r="10" spans="1:20" ht="21" x14ac:dyDescent="0.4">
      <c r="A10" s="4"/>
      <c r="B10" s="5"/>
      <c r="C10" s="6"/>
      <c r="D10" s="6"/>
      <c r="E10" s="6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ht="21.6" thickBot="1" x14ac:dyDescent="0.45">
      <c r="A11" s="4"/>
      <c r="B11" s="33" t="s">
        <v>10</v>
      </c>
      <c r="C11" s="35"/>
      <c r="D11" s="6"/>
      <c r="E11" s="6"/>
      <c r="K11" s="5" t="s">
        <v>11</v>
      </c>
      <c r="L11" s="6">
        <v>400</v>
      </c>
      <c r="M11" s="5"/>
      <c r="N11" s="5" t="s">
        <v>11</v>
      </c>
      <c r="O11" s="6">
        <v>400</v>
      </c>
      <c r="P11" s="5"/>
      <c r="Q11" s="5"/>
      <c r="R11" s="5"/>
      <c r="S11" s="5"/>
      <c r="T11" s="5"/>
    </row>
    <row r="12" spans="1:20" ht="21.6" thickBot="1" x14ac:dyDescent="0.45">
      <c r="A12" s="4"/>
      <c r="B12" s="7" t="s">
        <v>12</v>
      </c>
      <c r="C12" s="8">
        <v>300</v>
      </c>
      <c r="D12" s="6"/>
      <c r="E12" s="6"/>
      <c r="K12" s="22" t="s">
        <v>13</v>
      </c>
      <c r="L12" s="23"/>
      <c r="M12" s="5"/>
      <c r="N12" s="22" t="s">
        <v>13</v>
      </c>
      <c r="O12" s="23"/>
      <c r="P12" s="5"/>
      <c r="Q12" s="5"/>
      <c r="R12" s="5"/>
      <c r="S12" s="5"/>
      <c r="T12" s="5"/>
    </row>
    <row r="13" spans="1:20" ht="21" x14ac:dyDescent="0.4">
      <c r="A13" s="4"/>
      <c r="B13" s="7" t="s">
        <v>14</v>
      </c>
      <c r="C13" s="8">
        <v>500</v>
      </c>
      <c r="D13" s="6"/>
      <c r="E13" s="6"/>
      <c r="K13" s="5"/>
      <c r="L13" s="9" t="s">
        <v>15</v>
      </c>
      <c r="M13" s="5"/>
      <c r="N13" s="5"/>
      <c r="O13" s="9" t="s">
        <v>16</v>
      </c>
      <c r="P13" s="5"/>
      <c r="Q13" s="5"/>
      <c r="R13" s="5"/>
      <c r="S13" s="5"/>
      <c r="T13" s="5"/>
    </row>
    <row r="14" spans="1:20" ht="21" x14ac:dyDescent="0.4">
      <c r="A14" s="4"/>
      <c r="B14" s="7" t="s">
        <v>17</v>
      </c>
      <c r="C14" s="8">
        <v>200</v>
      </c>
      <c r="D14" s="6"/>
      <c r="E14" s="6"/>
      <c r="K14" s="10" t="s">
        <v>5</v>
      </c>
      <c r="L14" s="11">
        <v>5</v>
      </c>
      <c r="M14" s="5"/>
      <c r="N14" s="10" t="s">
        <v>5</v>
      </c>
      <c r="O14" s="11">
        <v>4</v>
      </c>
      <c r="P14" s="5"/>
      <c r="Q14" s="5"/>
      <c r="R14" s="5"/>
      <c r="S14" s="5"/>
      <c r="T14" s="5"/>
    </row>
    <row r="15" spans="1:20" ht="21" x14ac:dyDescent="0.4">
      <c r="A15" s="4"/>
      <c r="B15" s="5"/>
      <c r="C15" s="8"/>
      <c r="D15" s="6"/>
      <c r="E15" s="6"/>
      <c r="K15" s="10" t="s">
        <v>6</v>
      </c>
      <c r="L15" s="11">
        <v>9</v>
      </c>
      <c r="M15" s="5"/>
      <c r="N15" s="10" t="s">
        <v>6</v>
      </c>
      <c r="O15" s="11">
        <v>9</v>
      </c>
      <c r="P15" s="5"/>
      <c r="Q15" s="5"/>
      <c r="R15" s="5"/>
      <c r="S15" s="5"/>
      <c r="T15" s="5"/>
    </row>
    <row r="16" spans="1:20" ht="21" x14ac:dyDescent="0.4">
      <c r="A16" s="4"/>
      <c r="B16" s="5"/>
      <c r="C16" s="6"/>
      <c r="D16" s="6"/>
      <c r="E16" s="6"/>
      <c r="K16" s="10" t="s">
        <v>7</v>
      </c>
      <c r="L16" s="11">
        <v>10</v>
      </c>
      <c r="M16" s="5"/>
      <c r="N16" s="10" t="s">
        <v>7</v>
      </c>
      <c r="O16" s="11">
        <v>12</v>
      </c>
      <c r="P16" s="5"/>
      <c r="Q16" s="5"/>
      <c r="R16" s="5"/>
      <c r="S16" s="5"/>
      <c r="T16" s="5"/>
    </row>
    <row r="17" spans="1:20" ht="21" x14ac:dyDescent="0.4">
      <c r="A17" s="4"/>
      <c r="B17" s="33" t="s">
        <v>18</v>
      </c>
      <c r="C17" s="34"/>
      <c r="D17" s="34"/>
      <c r="E17" s="3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21.6" thickBot="1" x14ac:dyDescent="0.45"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21" x14ac:dyDescent="0.4">
      <c r="C19" s="5"/>
      <c r="D19" s="21" t="s">
        <v>12</v>
      </c>
      <c r="E19" s="21" t="s">
        <v>14</v>
      </c>
      <c r="F19" s="21" t="s">
        <v>17</v>
      </c>
      <c r="G19" s="9" t="s">
        <v>16</v>
      </c>
      <c r="K19" s="27" t="s">
        <v>19</v>
      </c>
      <c r="L19" s="28"/>
      <c r="M19" s="28"/>
      <c r="N19" s="28"/>
      <c r="O19" s="29"/>
      <c r="P19" s="5"/>
      <c r="Q19" s="5"/>
      <c r="R19" s="5"/>
      <c r="S19" s="5"/>
      <c r="T19" s="5"/>
    </row>
    <row r="20" spans="1:20" ht="21.6" thickBot="1" x14ac:dyDescent="0.45">
      <c r="C20" s="10" t="s">
        <v>5</v>
      </c>
      <c r="D20" s="11">
        <v>5</v>
      </c>
      <c r="E20" s="11">
        <v>4</v>
      </c>
      <c r="F20" s="11">
        <v>3</v>
      </c>
      <c r="G20" s="11">
        <v>4</v>
      </c>
      <c r="K20" s="30"/>
      <c r="L20" s="31"/>
      <c r="M20" s="31"/>
      <c r="N20" s="31"/>
      <c r="O20" s="32"/>
      <c r="P20" s="5"/>
      <c r="Q20" s="5"/>
      <c r="R20" s="5"/>
      <c r="S20" s="5"/>
      <c r="T20" s="5"/>
    </row>
    <row r="21" spans="1:20" ht="21" x14ac:dyDescent="0.4">
      <c r="C21" s="10" t="s">
        <v>6</v>
      </c>
      <c r="D21" s="11">
        <v>8</v>
      </c>
      <c r="E21" s="11">
        <v>4</v>
      </c>
      <c r="F21" s="11">
        <v>3</v>
      </c>
      <c r="G21" s="11">
        <v>9</v>
      </c>
    </row>
    <row r="22" spans="1:20" ht="21" x14ac:dyDescent="0.4">
      <c r="C22" s="10" t="s">
        <v>7</v>
      </c>
      <c r="D22" s="11">
        <v>9</v>
      </c>
      <c r="E22" s="11">
        <v>7</v>
      </c>
      <c r="F22" s="11">
        <v>5</v>
      </c>
      <c r="G22" s="11">
        <v>12</v>
      </c>
      <c r="K22" s="5"/>
      <c r="L22" s="5" t="s">
        <v>21</v>
      </c>
      <c r="M22" s="5"/>
      <c r="N22" s="5"/>
      <c r="O22" s="5"/>
      <c r="P22" s="5"/>
    </row>
    <row r="23" spans="1:20" ht="21" customHeight="1" x14ac:dyDescent="0.4">
      <c r="C23" s="19" t="s">
        <v>22</v>
      </c>
      <c r="D23" s="20">
        <v>0</v>
      </c>
      <c r="E23" s="20">
        <v>0</v>
      </c>
      <c r="F23" s="20">
        <v>0</v>
      </c>
      <c r="G23" s="20">
        <v>0</v>
      </c>
      <c r="I23" s="46" t="s">
        <v>25</v>
      </c>
      <c r="K23" s="12" t="s">
        <v>12</v>
      </c>
      <c r="L23" s="12" t="s">
        <v>14</v>
      </c>
      <c r="M23" s="12" t="s">
        <v>17</v>
      </c>
      <c r="N23" s="13" t="s">
        <v>16</v>
      </c>
      <c r="O23" s="5" t="s">
        <v>23</v>
      </c>
      <c r="P23" s="5" t="s">
        <v>24</v>
      </c>
    </row>
    <row r="24" spans="1:20" ht="15.6" customHeight="1" x14ac:dyDescent="0.4">
      <c r="I24" s="46"/>
      <c r="J24" s="5" t="s">
        <v>5</v>
      </c>
      <c r="K24" s="42">
        <v>0</v>
      </c>
      <c r="L24" s="42">
        <v>0</v>
      </c>
      <c r="M24" s="42">
        <v>0</v>
      </c>
      <c r="N24" s="43">
        <v>200</v>
      </c>
      <c r="O24" s="42">
        <v>200</v>
      </c>
      <c r="P24" s="42">
        <f>SUM(K24:N24)</f>
        <v>200</v>
      </c>
    </row>
    <row r="25" spans="1:20" ht="15.6" customHeight="1" x14ac:dyDescent="0.4">
      <c r="I25" s="46"/>
      <c r="J25" s="5" t="s">
        <v>6</v>
      </c>
      <c r="K25" s="42">
        <v>0</v>
      </c>
      <c r="L25" s="42">
        <v>400</v>
      </c>
      <c r="M25" s="42">
        <v>0</v>
      </c>
      <c r="N25" s="43">
        <v>0</v>
      </c>
      <c r="O25" s="42">
        <v>400</v>
      </c>
      <c r="P25" s="42">
        <f t="shared" ref="P25:P26" si="0">SUM(K25:N25)</f>
        <v>400</v>
      </c>
    </row>
    <row r="26" spans="1:20" ht="15.6" customHeight="1" x14ac:dyDescent="0.4">
      <c r="I26" s="46"/>
      <c r="J26" s="5" t="s">
        <v>7</v>
      </c>
      <c r="K26" s="42">
        <v>200</v>
      </c>
      <c r="L26" s="42">
        <v>100</v>
      </c>
      <c r="M26" s="42">
        <v>200</v>
      </c>
      <c r="N26" s="43">
        <v>0</v>
      </c>
      <c r="O26" s="42">
        <v>500</v>
      </c>
      <c r="P26" s="42">
        <f t="shared" si="0"/>
        <v>500</v>
      </c>
    </row>
    <row r="27" spans="1:20" ht="15.6" customHeight="1" x14ac:dyDescent="0.4">
      <c r="I27" s="46"/>
      <c r="J27" s="5" t="s">
        <v>22</v>
      </c>
      <c r="K27" s="42">
        <v>100</v>
      </c>
      <c r="L27" s="42">
        <v>0</v>
      </c>
      <c r="M27" s="42">
        <v>0</v>
      </c>
      <c r="N27" s="42">
        <v>200</v>
      </c>
      <c r="O27" s="42">
        <v>300</v>
      </c>
      <c r="P27" s="42">
        <f>SUM(K27:N27)</f>
        <v>300</v>
      </c>
    </row>
    <row r="28" spans="1:20" ht="21" x14ac:dyDescent="0.4">
      <c r="I28" s="46"/>
      <c r="J28" s="5" t="s">
        <v>26</v>
      </c>
      <c r="K28" s="42">
        <v>300</v>
      </c>
      <c r="L28" s="42">
        <v>500</v>
      </c>
      <c r="M28" s="42">
        <v>200</v>
      </c>
      <c r="N28" s="42">
        <v>400</v>
      </c>
      <c r="O28" s="42"/>
      <c r="P28" s="42"/>
    </row>
    <row r="29" spans="1:20" ht="21" x14ac:dyDescent="0.4">
      <c r="I29" s="46"/>
      <c r="J29" s="5" t="s">
        <v>27</v>
      </c>
      <c r="K29" s="42">
        <f>SUM(K24:K27)</f>
        <v>300</v>
      </c>
      <c r="L29" s="42">
        <f>SUM(L24:L27)</f>
        <v>500</v>
      </c>
      <c r="M29" s="42">
        <f>SUM(M24:M27)</f>
        <v>200</v>
      </c>
      <c r="N29" s="16">
        <f>SUM(N24:N27)</f>
        <v>400</v>
      </c>
      <c r="O29" s="42"/>
      <c r="P29" s="42"/>
    </row>
    <row r="31" spans="1:20" ht="21" x14ac:dyDescent="0.4">
      <c r="J31" s="45" t="s">
        <v>28</v>
      </c>
      <c r="K31" s="14" t="s">
        <v>29</v>
      </c>
      <c r="L31" s="14"/>
      <c r="M31" s="14"/>
    </row>
    <row r="32" spans="1:20" ht="18" x14ac:dyDescent="0.35">
      <c r="J32" s="14" t="s">
        <v>30</v>
      </c>
      <c r="K32" s="15">
        <f>SUMPRODUCT(K24:N27,D20:G23)</f>
        <v>5900</v>
      </c>
    </row>
    <row r="34" spans="10:13" x14ac:dyDescent="0.3">
      <c r="J34" t="s">
        <v>31</v>
      </c>
      <c r="K34" t="s">
        <v>32</v>
      </c>
      <c r="M34">
        <f>SUM(K28:N28)</f>
        <v>1400</v>
      </c>
    </row>
    <row r="35" spans="10:13" x14ac:dyDescent="0.3">
      <c r="J35" t="s">
        <v>33</v>
      </c>
      <c r="K35" t="s">
        <v>34</v>
      </c>
      <c r="M35">
        <f>SUM(O24:O27)</f>
        <v>1400</v>
      </c>
    </row>
  </sheetData>
  <mergeCells count="10">
    <mergeCell ref="I23:I29"/>
    <mergeCell ref="A2:G2"/>
    <mergeCell ref="B4:C4"/>
    <mergeCell ref="B11:C11"/>
    <mergeCell ref="B17:E17"/>
    <mergeCell ref="K2:T2"/>
    <mergeCell ref="K3:T7"/>
    <mergeCell ref="K9:L9"/>
    <mergeCell ref="N9:O9"/>
    <mergeCell ref="K19:O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York Optimization</vt:lpstr>
      <vt:lpstr>Los Angeles Optimization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Arin Brahma</dc:creator>
  <cp:keywords/>
  <dc:description/>
  <cp:lastModifiedBy>F S</cp:lastModifiedBy>
  <cp:revision/>
  <dcterms:created xsi:type="dcterms:W3CDTF">2014-03-20T19:10:08Z</dcterms:created>
  <dcterms:modified xsi:type="dcterms:W3CDTF">2026-06-12T20:58:01Z</dcterms:modified>
  <cp:category/>
  <cp:contentStatus/>
</cp:coreProperties>
</file>